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s\Downloads\Ajou_Business_Analytics\L1\new files\"/>
    </mc:Choice>
  </mc:AlternateContent>
  <xr:revisionPtr revIDLastSave="0" documentId="13_ncr:1_{CCB63DFE-15B1-4C2D-BE64-4D030F898B6B}" xr6:coauthVersionLast="47" xr6:coauthVersionMax="47" xr10:uidLastSave="{00000000-0000-0000-0000-000000000000}"/>
  <bookViews>
    <workbookView xWindow="25695" yWindow="0" windowWidth="26010" windowHeight="20985" firstSheet="1" activeTab="5" xr2:uid="{C011196C-6CD1-40AF-A112-E71B2CA190ED}"/>
  </bookViews>
  <sheets>
    <sheet name="emails_sub_toy" sheetId="3" r:id="rId1"/>
    <sheet name="emails_master_toy" sheetId="2" r:id="rId2"/>
    <sheet name="Processing" sheetId="4" r:id="rId3"/>
    <sheet name="Combined" sheetId="5" r:id="rId4"/>
    <sheet name="Combined_PQ" sheetId="6" r:id="rId5"/>
    <sheet name="Summary" sheetId="1" r:id="rId6"/>
  </sheets>
  <definedNames>
    <definedName name="ExternalData_1" localSheetId="4" hidden="1">'Combined_PQ'!$A$1:$A$23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 a="1"/>
  <c r="B5" i="1"/>
  <c r="B4" i="1"/>
  <c r="A2" i="5" a="1"/>
  <c r="B3" i="1"/>
  <c r="B2" i="1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17" i="4"/>
  <c r="C3" i="4"/>
  <c r="C4" i="4"/>
  <c r="C5" i="4"/>
  <c r="C6" i="4"/>
  <c r="C7" i="4"/>
  <c r="C8" i="4"/>
  <c r="C9" i="4"/>
  <c r="C10" i="4"/>
  <c r="C11" i="4"/>
  <c r="C12" i="4"/>
  <c r="C13" i="4"/>
  <c r="C2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17" i="4"/>
  <c r="B3" i="4"/>
  <c r="B4" i="4"/>
  <c r="B5" i="4"/>
  <c r="B6" i="4"/>
  <c r="B7" i="4"/>
  <c r="B8" i="4"/>
  <c r="B9" i="4"/>
  <c r="B10" i="4"/>
  <c r="B11" i="4"/>
  <c r="B12" i="4"/>
  <c r="B13" i="4"/>
  <c r="B2" i="4"/>
  <c r="A17" i="4" a="1"/>
  <c r="A2" i="4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8B6A85-ECE7-4AF7-B7F5-5ADD61CA1060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E3698ABF-A22A-455D-96DA-BD6C00CCA9B1}" keepAlive="1" name="Query - master" description="Connection to the 'master' query in the workbook." type="5" refreshedVersion="0" background="1">
    <dbPr connection="Provider=Microsoft.Mashup.OleDb.1;Data Source=$Workbook$;Location=master;Extended Properties=&quot;&quot;" command="SELECT * FROM [master]"/>
  </connection>
  <connection id="3" xr16:uid="{713307D1-6D29-4390-814E-E9ED9D30FAC2}" keepAlive="1" name="Query - sub" description="Connection to the 'sub' query in the workbook." type="5" refreshedVersion="0" background="1">
    <dbPr connection="Provider=Microsoft.Mashup.OleDb.1;Data Source=$Workbook$;Location=sub;Extended Properties=&quot;&quot;" command="SELECT * FROM [sub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<sst xmlns="http://schemas.openxmlformats.org/spreadsheetml/2006/main" count="65" uniqueCount="39">
  <si>
    <t>Metric</t>
  </si>
  <si>
    <t>Master</t>
  </si>
  <si>
    <t>Sub</t>
  </si>
  <si>
    <t>Combined Uniques</t>
  </si>
  <si>
    <t>Duplictaes</t>
  </si>
  <si>
    <t>Overlapping Emails</t>
  </si>
  <si>
    <t>eric@example.com</t>
  </si>
  <si>
    <t>ivan@example.com</t>
  </si>
  <si>
    <t>mike@example.com</t>
  </si>
  <si>
    <t>leo@sample.edu</t>
  </si>
  <si>
    <t>kate@demo.net</t>
  </si>
  <si>
    <t xml:space="preserve">  BOB@test.org  </t>
  </si>
  <si>
    <t>alice@example.com</t>
  </si>
  <si>
    <t>judy@test.org</t>
  </si>
  <si>
    <t>heidi@sample.edu</t>
  </si>
  <si>
    <t>grace@demo.net</t>
  </si>
  <si>
    <t>frank@test.org</t>
  </si>
  <si>
    <t>david@sample.edu</t>
  </si>
  <si>
    <t>cathy@demo.net</t>
  </si>
  <si>
    <t>bob@test.org</t>
  </si>
  <si>
    <t>email</t>
  </si>
  <si>
    <t xml:space="preserve">  ivan@example.com  </t>
  </si>
  <si>
    <t>peggy@sample.edu</t>
  </si>
  <si>
    <t>zack@test.org</t>
  </si>
  <si>
    <t>yolanda@example.com</t>
  </si>
  <si>
    <t>Xavier@Sample.edu</t>
  </si>
  <si>
    <t>wendy@demo.net</t>
  </si>
  <si>
    <t>victor@test.org</t>
  </si>
  <si>
    <t>trent@example.com</t>
  </si>
  <si>
    <t>oscar@demo.net</t>
  </si>
  <si>
    <t>nancy@test.org</t>
  </si>
  <si>
    <t>emails_sub</t>
  </si>
  <si>
    <t>emails_master</t>
  </si>
  <si>
    <t>Trimmed_master</t>
  </si>
  <si>
    <t>Trimmed_sub</t>
  </si>
  <si>
    <t>Duplicates_master</t>
  </si>
  <si>
    <t>Duplicates_sub</t>
  </si>
  <si>
    <t>Combined_master_sub</t>
  </si>
  <si>
    <t>xavier@sample.edu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</si>
</sst>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42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D228EC-9347-417D-B7C5-2AA5DD9BED92}" autoFormatId="16" applyNumberFormats="0" applyBorderFormats="0" applyFontFormats="0" applyPatternFormats="0" applyAlignmentFormats="0" applyWidthHeightFormats="0">
  <queryTableRefresh nextId="2">
    <queryTableFields count="1">
      <queryTableField id="1" name="email" tableColumnId="1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3F783-F6BC-4A8C-991F-C014953599EB}" name="sub" displayName="sub" ref="A1:A13" totalsRowShown="0">
  <autoFilter ref="A1:A13" xr:uid="{AEC3F783-F6BC-4A8C-991F-C014953599EB}"/>
  <tableColumns count="1">
    <tableColumn id="1" xr3:uid="{DCB1DA3B-17EB-4A4B-B848-5F851425B7B4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113DAF-6978-4B94-99F3-22F30D208094}" name="master" displayName="master" ref="A1:A16" totalsRowShown="0">
  <autoFilter ref="A1:A16" xr:uid="{0B113DAF-6978-4B94-99F3-22F30D208094}"/>
  <tableColumns count="1">
    <tableColumn id="1" xr3:uid="{8BB92B5C-E12E-4F51-9AA6-5722CEAC556C}" name="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7FF39B-E3F2-425E-B41C-374F25D356BB}" name="mastertrim" displayName="mastertrim" ref="B16:B31" totalsRowShown="0" headerRowDxfId="1">
  <autoFilter ref="B16:B31" xr:uid="{837FF39B-E3F2-425E-B41C-374F25D356BB}"/>
  <tableColumns count="1">
    <tableColumn id="1" xr3:uid="{D15BCB84-F5C2-46EB-B405-7CFBF10B8864}" name="Trimmed_master">
      <calculatedColumnFormula>LOWER(TRIM(A17))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F9121D-B394-4E3F-BF34-C437D39A3A4E}" name="subtrim" displayName="subtrim" ref="B1:B13" totalsRowShown="0" headerRowDxfId="0">
  <autoFilter ref="B1:B13" xr:uid="{37F9121D-B394-4E3F-BF34-C437D39A3A4E}"/>
  <tableColumns count="1">
    <tableColumn id="1" xr3:uid="{5DF2EDC1-7079-4AEE-9990-FA7CDA934BA4}" name="Trimmed_sub">
      <calculatedColumnFormula>LOWER(TRIM(A2))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0F129F-4617-46CF-9530-F9987E8D5822}" name="combined_pq" displayName="combined_pq" ref="A1:A23" tableType="queryTable" totalsRowShown="0">
  <autoFilter ref="A1:A23" xr:uid="{5D0F129F-4617-46CF-9530-F9987E8D5822}"/>
  <tableColumns count="1">
    <tableColumn id="1" xr3:uid="{FA025C6A-D6D8-4DDD-B01C-135DCD7F4322}" uniqueName="1" name="email" queryTableFieldId="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8813-4CCC-4360-80A4-D0CC967AB181}">
  <dimension ref="A1:A13"/>
  <sheetViews>
    <sheetView workbookViewId="0">
      <selection activeCell="A5" sqref="A5"/>
    </sheetView>
  </sheetViews>
  <sheetFormatPr defaultRowHeight="15" x14ac:dyDescent="0.25"/>
  <cols>
    <col min="1" max="1" width="22.140625" bestFit="1" customWidth="1"/>
  </cols>
  <sheetData>
    <row r="1" spans="1:1" x14ac:dyDescent="0.25">
      <c r="A1" t="s">
        <v>20</v>
      </c>
    </row>
    <row r="2" spans="1:1" x14ac:dyDescent="0.25">
      <c r="A2" t="s">
        <v>30</v>
      </c>
    </row>
    <row r="3" spans="1:1" x14ac:dyDescent="0.25">
      <c r="A3" t="s">
        <v>29</v>
      </c>
    </row>
    <row r="4" spans="1:1" x14ac:dyDescent="0.25">
      <c r="A4" t="s">
        <v>22</v>
      </c>
    </row>
    <row r="5" spans="1:1" x14ac:dyDescent="0.25">
      <c r="A5" t="s">
        <v>28</v>
      </c>
    </row>
    <row r="6" spans="1:1" x14ac:dyDescent="0.25">
      <c r="A6" t="s">
        <v>27</v>
      </c>
    </row>
    <row r="7" spans="1:1" x14ac:dyDescent="0.25">
      <c r="A7" t="s">
        <v>26</v>
      </c>
    </row>
    <row r="8" spans="1:1" x14ac:dyDescent="0.25">
      <c r="A8" t="s">
        <v>25</v>
      </c>
    </row>
    <row r="9" spans="1:1" x14ac:dyDescent="0.25">
      <c r="A9" t="s">
        <v>24</v>
      </c>
    </row>
    <row r="10" spans="1:1" x14ac:dyDescent="0.25">
      <c r="A10" t="s">
        <v>23</v>
      </c>
    </row>
    <row r="11" spans="1:1" x14ac:dyDescent="0.25">
      <c r="A11" t="s">
        <v>6</v>
      </c>
    </row>
    <row r="12" spans="1:1" x14ac:dyDescent="0.25">
      <c r="A12" t="s">
        <v>22</v>
      </c>
    </row>
    <row r="13" spans="1:1" x14ac:dyDescent="0.25">
      <c r="A13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72FC-13D6-43EA-A13E-A2509690CF03}">
  <dimension ref="A1:A16"/>
  <sheetViews>
    <sheetView workbookViewId="0">
      <selection activeCell="A11" sqref="A11"/>
    </sheetView>
  </sheetViews>
  <sheetFormatPr defaultRowHeight="15" x14ac:dyDescent="0.25"/>
  <cols>
    <col min="1" max="1" width="19.140625" bestFit="1" customWidth="1"/>
  </cols>
  <sheetData>
    <row r="1" spans="1:1" x14ac:dyDescent="0.25">
      <c r="A1" t="s">
        <v>20</v>
      </c>
    </row>
    <row r="2" spans="1:1" x14ac:dyDescent="0.25">
      <c r="A2" t="s">
        <v>12</v>
      </c>
    </row>
    <row r="3" spans="1:1" x14ac:dyDescent="0.25">
      <c r="A3" t="s">
        <v>19</v>
      </c>
    </row>
    <row r="4" spans="1:1" x14ac:dyDescent="0.25">
      <c r="A4" t="s">
        <v>18</v>
      </c>
    </row>
    <row r="5" spans="1:1" x14ac:dyDescent="0.25">
      <c r="A5" t="s">
        <v>17</v>
      </c>
    </row>
    <row r="6" spans="1:1" x14ac:dyDescent="0.25">
      <c r="A6" t="s">
        <v>6</v>
      </c>
    </row>
    <row r="7" spans="1:1" x14ac:dyDescent="0.25">
      <c r="A7" t="s">
        <v>16</v>
      </c>
    </row>
    <row r="8" spans="1:1" x14ac:dyDescent="0.25">
      <c r="A8" t="s">
        <v>15</v>
      </c>
    </row>
    <row r="9" spans="1:1" x14ac:dyDescent="0.25">
      <c r="A9" t="s">
        <v>14</v>
      </c>
    </row>
    <row r="10" spans="1:1" x14ac:dyDescent="0.25">
      <c r="A10" t="s">
        <v>7</v>
      </c>
    </row>
    <row r="11" spans="1:1" x14ac:dyDescent="0.25">
      <c r="A11" t="s">
        <v>13</v>
      </c>
    </row>
    <row r="12" spans="1:1" x14ac:dyDescent="0.25">
      <c r="A12" t="s">
        <v>12</v>
      </c>
    </row>
    <row r="13" spans="1:1" x14ac:dyDescent="0.25">
      <c r="A13" t="s">
        <v>11</v>
      </c>
    </row>
    <row r="14" spans="1:1" x14ac:dyDescent="0.25">
      <c r="A14" t="s">
        <v>10</v>
      </c>
    </row>
    <row r="15" spans="1:1" x14ac:dyDescent="0.25">
      <c r="A15" t="s">
        <v>9</v>
      </c>
    </row>
    <row r="16" spans="1:1" x14ac:dyDescent="0.25">
      <c r="A16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5228-BDA1-4BD2-B6EA-36F0E1BC7922}">
  <dimension ref="A1:E31"/>
  <sheetViews>
    <sheetView workbookViewId="0">
      <selection activeCell="B1" sqref="B1:B13"/>
    </sheetView>
  </sheetViews>
  <sheetFormatPr defaultRowHeight="15" x14ac:dyDescent="0.25"/>
  <cols>
    <col min="1" max="2" width="22.140625" bestFit="1" customWidth="1"/>
    <col min="3" max="3" width="18.140625" bestFit="1" customWidth="1"/>
    <col min="5" max="5" width="20.7109375" bestFit="1" customWidth="1"/>
  </cols>
  <sheetData>
    <row r="1" spans="1:5" x14ac:dyDescent="0.25">
      <c r="A1" s="1" t="s">
        <v>31</v>
      </c>
      <c r="B1" s="1" t="s">
        <v>34</v>
      </c>
      <c r="C1" s="1" t="s">
        <v>36</v>
      </c>
      <c r="E1" s="1"/>
    </row>
    <row r="2" spans="1:5" x14ac:dyDescent="0.25">
      <c r="A2" t="str" cm="1">
        <f t="array" ref="A2:A13">sub[]</f>
        <v>nancy@test.org</v>
      </c>
      <c r="B2" t="str">
        <f>LOWER(TRIM(A2))</f>
        <v>nancy@test.org</v>
      </c>
      <c r="C2">
        <f>COUNTIF($B$2:$B$14,B2)</f>
        <v>1</v>
      </c>
    </row>
    <row r="3" spans="1:5" x14ac:dyDescent="0.25">
      <c r="A3" t="str">
        <v>oscar@demo.net</v>
      </c>
      <c r="B3" t="str">
        <f t="shared" ref="B3:B13" si="0">LOWER(TRIM(A3))</f>
        <v>oscar@demo.net</v>
      </c>
      <c r="C3">
        <f t="shared" ref="C3:C13" si="1">COUNTIF($B$2:$B$14,B3)</f>
        <v>1</v>
      </c>
    </row>
    <row r="4" spans="1:5" x14ac:dyDescent="0.25">
      <c r="A4" t="str">
        <v>peggy@sample.edu</v>
      </c>
      <c r="B4" t="str">
        <f t="shared" si="0"/>
        <v>peggy@sample.edu</v>
      </c>
      <c r="C4">
        <f t="shared" si="1"/>
        <v>2</v>
      </c>
    </row>
    <row r="5" spans="1:5" x14ac:dyDescent="0.25">
      <c r="A5" t="str">
        <v>trent@example.com</v>
      </c>
      <c r="B5" t="str">
        <f t="shared" si="0"/>
        <v>trent@example.com</v>
      </c>
      <c r="C5">
        <f t="shared" si="1"/>
        <v>1</v>
      </c>
    </row>
    <row r="6" spans="1:5" x14ac:dyDescent="0.25">
      <c r="A6" t="str">
        <v>victor@test.org</v>
      </c>
      <c r="B6" t="str">
        <f t="shared" si="0"/>
        <v>victor@test.org</v>
      </c>
      <c r="C6">
        <f t="shared" si="1"/>
        <v>1</v>
      </c>
    </row>
    <row r="7" spans="1:5" x14ac:dyDescent="0.25">
      <c r="A7" t="str">
        <v>wendy@demo.net</v>
      </c>
      <c r="B7" t="str">
        <f t="shared" si="0"/>
        <v>wendy@demo.net</v>
      </c>
      <c r="C7">
        <f t="shared" si="1"/>
        <v>1</v>
      </c>
    </row>
    <row r="8" spans="1:5" x14ac:dyDescent="0.25">
      <c r="A8" t="str">
        <v>Xavier@Sample.edu</v>
      </c>
      <c r="B8" t="str">
        <f t="shared" si="0"/>
        <v>xavier@sample.edu</v>
      </c>
      <c r="C8">
        <f t="shared" si="1"/>
        <v>1</v>
      </c>
    </row>
    <row r="9" spans="1:5" x14ac:dyDescent="0.25">
      <c r="A9" t="str">
        <v>yolanda@example.com</v>
      </c>
      <c r="B9" t="str">
        <f t="shared" si="0"/>
        <v>yolanda@example.com</v>
      </c>
      <c r="C9">
        <f t="shared" si="1"/>
        <v>1</v>
      </c>
    </row>
    <row r="10" spans="1:5" x14ac:dyDescent="0.25">
      <c r="A10" t="str">
        <v>zack@test.org</v>
      </c>
      <c r="B10" t="str">
        <f t="shared" si="0"/>
        <v>zack@test.org</v>
      </c>
      <c r="C10">
        <f t="shared" si="1"/>
        <v>1</v>
      </c>
    </row>
    <row r="11" spans="1:5" x14ac:dyDescent="0.25">
      <c r="A11" t="str">
        <v>eric@example.com</v>
      </c>
      <c r="B11" t="str">
        <f t="shared" si="0"/>
        <v>eric@example.com</v>
      </c>
      <c r="C11">
        <f t="shared" si="1"/>
        <v>1</v>
      </c>
    </row>
    <row r="12" spans="1:5" x14ac:dyDescent="0.25">
      <c r="A12" t="str">
        <v>peggy@sample.edu</v>
      </c>
      <c r="B12" t="str">
        <f t="shared" si="0"/>
        <v>peggy@sample.edu</v>
      </c>
      <c r="C12">
        <f t="shared" si="1"/>
        <v>2</v>
      </c>
    </row>
    <row r="13" spans="1:5" x14ac:dyDescent="0.25">
      <c r="A13" t="str">
        <v xml:space="preserve">  ivan@example.com  </v>
      </c>
      <c r="B13" t="str">
        <f t="shared" si="0"/>
        <v>ivan@example.com</v>
      </c>
      <c r="C13">
        <f t="shared" si="1"/>
        <v>1</v>
      </c>
    </row>
    <row r="16" spans="1:5" x14ac:dyDescent="0.25">
      <c r="A16" s="1" t="s">
        <v>32</v>
      </c>
      <c r="B16" s="1" t="s">
        <v>33</v>
      </c>
      <c r="C16" s="1" t="s">
        <v>35</v>
      </c>
    </row>
    <row r="17" spans="1:3" x14ac:dyDescent="0.25">
      <c r="A17" t="str" cm="1">
        <f t="array" ref="A17:A31">master[]</f>
        <v>alice@example.com</v>
      </c>
      <c r="B17" t="str">
        <f>LOWER(TRIM(A17))</f>
        <v>alice@example.com</v>
      </c>
      <c r="C17">
        <f>COUNTIF($B$17:$B$31,B17)</f>
        <v>2</v>
      </c>
    </row>
    <row r="18" spans="1:3" x14ac:dyDescent="0.25">
      <c r="A18" t="str">
        <v>bob@test.org</v>
      </c>
      <c r="B18" t="str">
        <f t="shared" ref="B18:B31" si="2">LOWER(TRIM(A18))</f>
        <v>bob@test.org</v>
      </c>
      <c r="C18">
        <f t="shared" ref="C18:C31" si="3">COUNTIF($B$17:$B$31,B18)</f>
        <v>2</v>
      </c>
    </row>
    <row r="19" spans="1:3" x14ac:dyDescent="0.25">
      <c r="A19" t="str">
        <v>cathy@demo.net</v>
      </c>
      <c r="B19" t="str">
        <f t="shared" si="2"/>
        <v>cathy@demo.net</v>
      </c>
      <c r="C19">
        <f t="shared" si="3"/>
        <v>1</v>
      </c>
    </row>
    <row r="20" spans="1:3" x14ac:dyDescent="0.25">
      <c r="A20" t="str">
        <v>david@sample.edu</v>
      </c>
      <c r="B20" t="str">
        <f t="shared" si="2"/>
        <v>david@sample.edu</v>
      </c>
      <c r="C20">
        <f t="shared" si="3"/>
        <v>1</v>
      </c>
    </row>
    <row r="21" spans="1:3" x14ac:dyDescent="0.25">
      <c r="A21" t="str">
        <v>eric@example.com</v>
      </c>
      <c r="B21" t="str">
        <f t="shared" si="2"/>
        <v>eric@example.com</v>
      </c>
      <c r="C21">
        <f t="shared" si="3"/>
        <v>1</v>
      </c>
    </row>
    <row r="22" spans="1:3" x14ac:dyDescent="0.25">
      <c r="A22" t="str">
        <v>frank@test.org</v>
      </c>
      <c r="B22" t="str">
        <f t="shared" si="2"/>
        <v>frank@test.org</v>
      </c>
      <c r="C22">
        <f t="shared" si="3"/>
        <v>1</v>
      </c>
    </row>
    <row r="23" spans="1:3" x14ac:dyDescent="0.25">
      <c r="A23" t="str">
        <v>grace@demo.net</v>
      </c>
      <c r="B23" t="str">
        <f t="shared" si="2"/>
        <v>grace@demo.net</v>
      </c>
      <c r="C23">
        <f t="shared" si="3"/>
        <v>1</v>
      </c>
    </row>
    <row r="24" spans="1:3" x14ac:dyDescent="0.25">
      <c r="A24" t="str">
        <v>heidi@sample.edu</v>
      </c>
      <c r="B24" t="str">
        <f t="shared" si="2"/>
        <v>heidi@sample.edu</v>
      </c>
      <c r="C24">
        <f t="shared" si="3"/>
        <v>1</v>
      </c>
    </row>
    <row r="25" spans="1:3" x14ac:dyDescent="0.25">
      <c r="A25" t="str">
        <v>ivan@example.com</v>
      </c>
      <c r="B25" t="str">
        <f t="shared" si="2"/>
        <v>ivan@example.com</v>
      </c>
      <c r="C25">
        <f t="shared" si="3"/>
        <v>1</v>
      </c>
    </row>
    <row r="26" spans="1:3" x14ac:dyDescent="0.25">
      <c r="A26" t="str">
        <v>judy@test.org</v>
      </c>
      <c r="B26" t="str">
        <f t="shared" si="2"/>
        <v>judy@test.org</v>
      </c>
      <c r="C26">
        <f t="shared" si="3"/>
        <v>1</v>
      </c>
    </row>
    <row r="27" spans="1:3" x14ac:dyDescent="0.25">
      <c r="A27" t="str">
        <v>alice@example.com</v>
      </c>
      <c r="B27" t="str">
        <f t="shared" si="2"/>
        <v>alice@example.com</v>
      </c>
      <c r="C27">
        <f t="shared" si="3"/>
        <v>2</v>
      </c>
    </row>
    <row r="28" spans="1:3" x14ac:dyDescent="0.25">
      <c r="A28" t="str">
        <v xml:space="preserve">  BOB@test.org  </v>
      </c>
      <c r="B28" t="str">
        <f t="shared" si="2"/>
        <v>bob@test.org</v>
      </c>
      <c r="C28">
        <f t="shared" si="3"/>
        <v>2</v>
      </c>
    </row>
    <row r="29" spans="1:3" x14ac:dyDescent="0.25">
      <c r="A29" t="str">
        <v>kate@demo.net</v>
      </c>
      <c r="B29" t="str">
        <f t="shared" si="2"/>
        <v>kate@demo.net</v>
      </c>
      <c r="C29">
        <f t="shared" si="3"/>
        <v>1</v>
      </c>
    </row>
    <row r="30" spans="1:3" x14ac:dyDescent="0.25">
      <c r="A30" t="str">
        <v>leo@sample.edu</v>
      </c>
      <c r="B30" t="str">
        <f t="shared" si="2"/>
        <v>leo@sample.edu</v>
      </c>
      <c r="C30">
        <f t="shared" si="3"/>
        <v>1</v>
      </c>
    </row>
    <row r="31" spans="1:3" x14ac:dyDescent="0.25">
      <c r="A31" t="str">
        <v>mike@example.com</v>
      </c>
      <c r="B31" t="str">
        <f t="shared" si="2"/>
        <v>mike@example.com</v>
      </c>
      <c r="C31">
        <f t="shared" si="3"/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7655-8C36-412D-8E43-1DAAAE7B6C5E}">
  <dimension ref="A1:A28"/>
  <sheetViews>
    <sheetView workbookViewId="0">
      <selection activeCell="E12" sqref="E12"/>
    </sheetView>
  </sheetViews>
  <sheetFormatPr defaultRowHeight="15" x14ac:dyDescent="0.25"/>
  <cols>
    <col min="1" max="1" width="22.140625" bestFit="1" customWidth="1"/>
  </cols>
  <sheetData>
    <row r="1" spans="1:1" x14ac:dyDescent="0.25">
      <c r="A1" s="1" t="s">
        <v>37</v>
      </c>
    </row>
    <row r="2" spans="1:1" x14ac:dyDescent="0.25">
      <c r="A2" t="str" cm="1">
        <f t="array" ref="A2:A28">_xlfn.VSTACK(master[],sub[])</f>
        <v>alice@example.com</v>
      </c>
    </row>
    <row r="3" spans="1:1" x14ac:dyDescent="0.25">
      <c r="A3" t="str">
        <v>bob@test.org</v>
      </c>
    </row>
    <row r="4" spans="1:1" x14ac:dyDescent="0.25">
      <c r="A4" t="str">
        <v>cathy@demo.net</v>
      </c>
    </row>
    <row r="5" spans="1:1" x14ac:dyDescent="0.25">
      <c r="A5" t="str">
        <v>david@sample.edu</v>
      </c>
    </row>
    <row r="6" spans="1:1" x14ac:dyDescent="0.25">
      <c r="A6" t="str">
        <v>eric@example.com</v>
      </c>
    </row>
    <row r="7" spans="1:1" x14ac:dyDescent="0.25">
      <c r="A7" t="str">
        <v>frank@test.org</v>
      </c>
    </row>
    <row r="8" spans="1:1" x14ac:dyDescent="0.25">
      <c r="A8" t="str">
        <v>grace@demo.net</v>
      </c>
    </row>
    <row r="9" spans="1:1" x14ac:dyDescent="0.25">
      <c r="A9" t="str">
        <v>heidi@sample.edu</v>
      </c>
    </row>
    <row r="10" spans="1:1" x14ac:dyDescent="0.25">
      <c r="A10" t="str">
        <v>ivan@example.com</v>
      </c>
    </row>
    <row r="11" spans="1:1" x14ac:dyDescent="0.25">
      <c r="A11" t="str">
        <v>judy@test.org</v>
      </c>
    </row>
    <row r="12" spans="1:1" x14ac:dyDescent="0.25">
      <c r="A12" t="str">
        <v>alice@example.com</v>
      </c>
    </row>
    <row r="13" spans="1:1" x14ac:dyDescent="0.25">
      <c r="A13" t="str">
        <v xml:space="preserve">  BOB@test.org  </v>
      </c>
    </row>
    <row r="14" spans="1:1" x14ac:dyDescent="0.25">
      <c r="A14" t="str">
        <v>kate@demo.net</v>
      </c>
    </row>
    <row r="15" spans="1:1" x14ac:dyDescent="0.25">
      <c r="A15" t="str">
        <v>leo@sample.edu</v>
      </c>
    </row>
    <row r="16" spans="1:1" x14ac:dyDescent="0.25">
      <c r="A16" t="str">
        <v>mike@example.com</v>
      </c>
    </row>
    <row r="17" spans="1:1" x14ac:dyDescent="0.25">
      <c r="A17" t="str">
        <v>nancy@test.org</v>
      </c>
    </row>
    <row r="18" spans="1:1" x14ac:dyDescent="0.25">
      <c r="A18" t="str">
        <v>oscar@demo.net</v>
      </c>
    </row>
    <row r="19" spans="1:1" x14ac:dyDescent="0.25">
      <c r="A19" t="str">
        <v>peggy@sample.edu</v>
      </c>
    </row>
    <row r="20" spans="1:1" x14ac:dyDescent="0.25">
      <c r="A20" t="str">
        <v>trent@example.com</v>
      </c>
    </row>
    <row r="21" spans="1:1" x14ac:dyDescent="0.25">
      <c r="A21" t="str">
        <v>victor@test.org</v>
      </c>
    </row>
    <row r="22" spans="1:1" x14ac:dyDescent="0.25">
      <c r="A22" t="str">
        <v>wendy@demo.net</v>
      </c>
    </row>
    <row r="23" spans="1:1" x14ac:dyDescent="0.25">
      <c r="A23" t="str">
        <v>Xavier@Sample.edu</v>
      </c>
    </row>
    <row r="24" spans="1:1" x14ac:dyDescent="0.25">
      <c r="A24" t="str">
        <v>yolanda@example.com</v>
      </c>
    </row>
    <row r="25" spans="1:1" x14ac:dyDescent="0.25">
      <c r="A25" t="str">
        <v>zack@test.org</v>
      </c>
    </row>
    <row r="26" spans="1:1" x14ac:dyDescent="0.25">
      <c r="A26" t="str">
        <v>eric@example.com</v>
      </c>
    </row>
    <row r="27" spans="1:1" x14ac:dyDescent="0.25">
      <c r="A27" t="str">
        <v>peggy@sample.edu</v>
      </c>
    </row>
    <row r="28" spans="1:1" x14ac:dyDescent="0.25">
      <c r="A28" t="str">
        <v xml:space="preserve">  ivan@example.com 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97E0-2D3A-4219-9702-7D9BC5DB73EC}">
  <dimension ref="A1:A23"/>
  <sheetViews>
    <sheetView workbookViewId="0">
      <selection activeCell="A14" sqref="A14"/>
    </sheetView>
  </sheetViews>
  <sheetFormatPr defaultRowHeight="15" x14ac:dyDescent="0.25"/>
  <cols>
    <col min="1" max="1" width="22.140625" bestFit="1" customWidth="1"/>
  </cols>
  <sheetData>
    <row r="1" spans="1:1" x14ac:dyDescent="0.25">
      <c r="A1" t="s">
        <v>20</v>
      </c>
    </row>
    <row r="2" spans="1:1" x14ac:dyDescent="0.25">
      <c r="A2" s="3" t="s">
        <v>12</v>
      </c>
    </row>
    <row r="3" spans="1:1" x14ac:dyDescent="0.25">
      <c r="A3" s="3" t="s">
        <v>19</v>
      </c>
    </row>
    <row r="4" spans="1:1" x14ac:dyDescent="0.25">
      <c r="A4" s="3" t="s">
        <v>18</v>
      </c>
    </row>
    <row r="5" spans="1:1" x14ac:dyDescent="0.25">
      <c r="A5" s="3" t="s">
        <v>17</v>
      </c>
    </row>
    <row r="6" spans="1:1" x14ac:dyDescent="0.25">
      <c r="A6" s="3" t="s">
        <v>6</v>
      </c>
    </row>
    <row r="7" spans="1:1" x14ac:dyDescent="0.25">
      <c r="A7" s="3" t="s">
        <v>16</v>
      </c>
    </row>
    <row r="8" spans="1:1" x14ac:dyDescent="0.25">
      <c r="A8" s="3" t="s">
        <v>15</v>
      </c>
    </row>
    <row r="9" spans="1:1" x14ac:dyDescent="0.25">
      <c r="A9" s="3" t="s">
        <v>14</v>
      </c>
    </row>
    <row r="10" spans="1:1" x14ac:dyDescent="0.25">
      <c r="A10" s="3" t="s">
        <v>7</v>
      </c>
    </row>
    <row r="11" spans="1:1" x14ac:dyDescent="0.25">
      <c r="A11" s="3" t="s">
        <v>13</v>
      </c>
    </row>
    <row r="12" spans="1:1" x14ac:dyDescent="0.25">
      <c r="A12" s="3" t="s">
        <v>10</v>
      </c>
    </row>
    <row r="13" spans="1:1" x14ac:dyDescent="0.25">
      <c r="A13" s="3" t="s">
        <v>9</v>
      </c>
    </row>
    <row r="14" spans="1:1" x14ac:dyDescent="0.25">
      <c r="A14" s="3" t="s">
        <v>8</v>
      </c>
    </row>
    <row r="15" spans="1:1" x14ac:dyDescent="0.25">
      <c r="A15" s="3" t="s">
        <v>30</v>
      </c>
    </row>
    <row r="16" spans="1:1" x14ac:dyDescent="0.25">
      <c r="A16" s="3" t="s">
        <v>29</v>
      </c>
    </row>
    <row r="17" spans="1:1" x14ac:dyDescent="0.25">
      <c r="A17" s="3" t="s">
        <v>22</v>
      </c>
    </row>
    <row r="18" spans="1:1" x14ac:dyDescent="0.25">
      <c r="A18" s="3" t="s">
        <v>28</v>
      </c>
    </row>
    <row r="19" spans="1:1" x14ac:dyDescent="0.25">
      <c r="A19" s="3" t="s">
        <v>27</v>
      </c>
    </row>
    <row r="20" spans="1:1" x14ac:dyDescent="0.25">
      <c r="A20" s="3" t="s">
        <v>26</v>
      </c>
    </row>
    <row r="21" spans="1:1" x14ac:dyDescent="0.25">
      <c r="A21" s="3" t="s">
        <v>38</v>
      </c>
    </row>
    <row r="22" spans="1:1" x14ac:dyDescent="0.25">
      <c r="A22" s="3" t="s">
        <v>24</v>
      </c>
    </row>
    <row r="23" spans="1:1" x14ac:dyDescent="0.25">
      <c r="A23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002A-50FA-4A7C-AD80-D4D56474E498}">
  <dimension ref="A1:B9"/>
  <sheetViews>
    <sheetView tabSelected="1" workbookViewId="0">
      <selection activeCell="A9" sqref="A9"/>
    </sheetView>
  </sheetViews>
  <sheetFormatPr defaultRowHeight="15" x14ac:dyDescent="0.25"/>
  <cols>
    <col min="1" max="1" width="18.5703125" bestFit="1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>
        <f>ROWS((master[]))</f>
        <v>15</v>
      </c>
    </row>
    <row r="3" spans="1:2" x14ac:dyDescent="0.25">
      <c r="A3" t="s">
        <v>2</v>
      </c>
      <c r="B3">
        <f>ROWS(sub[])</f>
        <v>12</v>
      </c>
    </row>
    <row r="4" spans="1:2" x14ac:dyDescent="0.25">
      <c r="A4" t="s">
        <v>3</v>
      </c>
      <c r="B4">
        <f>ROWS(combined_pq[])</f>
        <v>22</v>
      </c>
    </row>
    <row r="5" spans="1:2" x14ac:dyDescent="0.25">
      <c r="A5" t="s">
        <v>4</v>
      </c>
      <c r="B5">
        <f>B3+B2-B4</f>
        <v>5</v>
      </c>
    </row>
    <row r="7" spans="1:2" x14ac:dyDescent="0.25">
      <c r="A7" s="1" t="s">
        <v>5</v>
      </c>
    </row>
    <row r="8" spans="1:2" x14ac:dyDescent="0.25">
      <c r="A8" s="2" t="str" cm="1">
        <f t="array" ref="A8:A9">_xlfn._xlws.FILTER(mastertrim[],COUNTIF(subtrim[],mastertrim[]))</f>
        <v>eric@example.com</v>
      </c>
    </row>
    <row r="9" spans="1:2" x14ac:dyDescent="0.25">
      <c r="A9" t="str">
        <v>ivan@example.com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24CF55-E562-4804-AC4B-AE44BA2FF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emails_sub_toy</vt:lpstr>
      <vt:lpstr>emails_master_toy</vt:lpstr>
      <vt:lpstr>Processing</vt:lpstr>
      <vt:lpstr>Combined</vt:lpstr>
      <vt:lpstr>Combined_PQ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Sutton</dc:creator>
  <cp:lastModifiedBy>Jack Sutton</cp:lastModifiedBy>
  <dcterms:created xsi:type="dcterms:W3CDTF">2026-08-27T09:54:55Z</dcterms:created>
  <dcterms:modified xsi:type="dcterms:W3CDTF">2026-08-27T10:26:23Z</dcterms:modified>
</cp:coreProperties>
</file>